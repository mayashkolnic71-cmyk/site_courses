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חינוך תוך שרות\חטיבת מונשמים\מעקבאחר נתוני גמילה\גמילה מקטטר\"/>
    </mc:Choice>
  </mc:AlternateContent>
  <xr:revisionPtr revIDLastSave="0" documentId="13_ncr:1_{B3B375F2-A078-490F-A6F8-B0D82CFC02E2}" xr6:coauthVersionLast="47" xr6:coauthVersionMax="47" xr10:uidLastSave="{00000000-0000-0000-0000-000000000000}"/>
  <bookViews>
    <workbookView minimized="1" xWindow="8970" yWindow="8970" windowWidth="2400" windowHeight="585" activeTab="1" xr2:uid="{ECA18A30-4C5D-44E5-9DC4-FB35675178A9}"/>
  </bookViews>
  <sheets>
    <sheet name="גרפים גמילה מקטטר 2021" sheetId="1" r:id="rId1"/>
    <sheet name="2021-2024" sheetId="2" r:id="rId2"/>
  </sheets>
  <calcPr calcId="181029"/>
  <oleSize ref="A4:O2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<sst xmlns="http://schemas.openxmlformats.org/spreadsheetml/2006/main" count="89" uniqueCount="41">
  <si>
    <t>שם</t>
  </si>
  <si>
    <t xml:space="preserve"> נרכש/ התקבל</t>
  </si>
  <si>
    <t>ימים עם קטטר</t>
  </si>
  <si>
    <t>אוחיון חנה רבקה – 26.1.21</t>
  </si>
  <si>
    <t>התקבלה</t>
  </si>
  <si>
    <r>
      <rPr>
        <sz val="7"/>
        <color theme="1"/>
        <rFont val="Times New Roman"/>
        <family val="1"/>
      </rPr>
      <t>  </t>
    </r>
    <r>
      <rPr>
        <sz val="11"/>
        <color theme="1"/>
        <rFont val="Arial"/>
        <family val="2"/>
      </rPr>
      <t>אלמלך אשר</t>
    </r>
  </si>
  <si>
    <t>התקבל</t>
  </si>
  <si>
    <t xml:space="preserve">דהן יחיאל  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</si>
  <si>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 xml:space="preserve">מושהיוף דבורה  </t>
    </r>
  </si>
  <si>
    <t xml:space="preserve">התקבלה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</si>
  <si>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רוקטלשוילי מיכאל </t>
    </r>
  </si>
  <si>
    <t xml:space="preserve">התקבל </t>
  </si>
  <si>
    <t>פייגלמן רומן</t>
  </si>
  <si>
    <t>אוחיון חנה רבקה – 26.1.22</t>
  </si>
  <si>
    <t>מחלקות</t>
  </si>
  <si>
    <t>מונשמים א</t>
  </si>
  <si>
    <t>מונשמים ב</t>
  </si>
  <si>
    <t>מונשמים ג</t>
  </si>
  <si>
    <t xml:space="preserve">מספר חולים שניגמלו </t>
  </si>
  <si>
    <t>ממוצע ימי קטטר לנגמלים מקטטר</t>
  </si>
  <si>
    <t>קטטר מיום קבלתו למחלקה</t>
  </si>
  <si>
    <t xml:space="preserve">אוצ'קובסקי רוזליה </t>
  </si>
  <si>
    <t xml:space="preserve">זנגו רחל </t>
  </si>
  <si>
    <t>בנגיו מרכוס</t>
  </si>
  <si>
    <t xml:space="preserve">שיטרית רחל </t>
  </si>
  <si>
    <t>התקבה</t>
  </si>
  <si>
    <t>דיינרוב יעקוב</t>
  </si>
  <si>
    <t>נרכש</t>
  </si>
  <si>
    <t>גינזבורג בוריס</t>
  </si>
  <si>
    <t xml:space="preserve">בגנקה ניקולאי </t>
  </si>
  <si>
    <t>דניירוב יעקב</t>
  </si>
  <si>
    <t xml:space="preserve">מיכאילוב ברטה </t>
  </si>
  <si>
    <t>כהן אסתר</t>
  </si>
  <si>
    <t>קרטום מיכאל</t>
  </si>
  <si>
    <t>קומלוש חמשגיארגי</t>
  </si>
  <si>
    <t>קורלקר סימה</t>
  </si>
  <si>
    <t xml:space="preserve">אוסי זואל </t>
  </si>
  <si>
    <t xml:space="preserve">תנועות במהלך השנה לכל מחלקה משפיות על שעורי הגמילה. </t>
  </si>
  <si>
    <t>שנה</t>
  </si>
  <si>
    <t xml:space="preserve">ס"כ </t>
  </si>
  <si>
    <t>לפי דווח  מהמחלות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</si>
</sst>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1"/>
    </font>
    <font>
      <sz val="7"/>
      <color theme="1"/>
      <name val="Times New Roman"/>
      <family val="1"/>
    </font>
    <font>
      <sz val="8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right" vertical="center" readingOrder="2"/>
    </xf>
    <xf numFmtId="0" fontId="0" fillId="3" borderId="1" xfId="0" applyFill="1" applyBorder="1"/>
    <xf numFmtId="0" fontId="3" fillId="0" borderId="1" xfId="0" applyFont="1" applyBorder="1" applyAlignment="1">
      <alignment horizontal="right" vertical="center" readingOrder="2"/>
    </xf>
    <xf numFmtId="0" fontId="0" fillId="0" borderId="1" xfId="0" applyBorder="1"/>
    <xf numFmtId="0" fontId="3" fillId="3" borderId="1" xfId="0" applyFont="1" applyFill="1" applyBorder="1" applyAlignment="1">
      <alignment horizontal="right" vertical="center" readingOrder="2"/>
    </xf>
    <xf numFmtId="0" fontId="6" fillId="0" borderId="0" xfId="0" applyFont="1"/>
    <xf numFmtId="0" fontId="6" fillId="0" borderId="0" xfId="0" applyFont="1" applyAlignment="1">
      <alignment wrapText="1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הארעות</a:t>
            </a:r>
            <a:r>
              <a:rPr lang="he-IL" baseline="0"/>
              <a:t> של גמילה מקטטר שתן בחטיבת מונשמים לפי התפלגות מחלקתית לשנת 2021. 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'גרפים גמילה מקטטר 2021'!$B$14</c:f>
              <c:strCache>
                <c:ptCount val="1"/>
                <c:pt idx="0">
                  <c:v>מספר חולים שניגמלו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'גרפים גמילה מקטטר 2021'!$A$16:$A$18</c:f>
              <c:strCache>
                <c:ptCount val="3"/>
                <c:pt idx="0">
                  <c:v>מונשמים א</c:v>
                </c:pt>
                <c:pt idx="1">
                  <c:v>מונשמים ב</c:v>
                </c:pt>
                <c:pt idx="2">
                  <c:v>מונשמים ג</c:v>
                </c:pt>
              </c:strCache>
            </c:strRef>
          </c:cat>
          <c:val>
            <c:numRef>
              <c:f>'גרפים גמילה מקטטר 2021'!$B$16:$B$18</c:f>
              <c:numCache>
                <c:formatCode>General</c:formatCode>
                <c:ptCount val="3"/>
                <c:pt idx="0">
                  <c:v>6</c:v>
                </c:pt>
                <c:pt idx="1">
                  <c:v>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1-4EF1-941D-64AD3A942217}"/>
            </c:ext>
          </c:extLst>
        </c:ser>
        <c:ser>
          <c:idx val="1"/>
          <c:order val="1"/>
          <c:tx>
            <c:strRef>
              <c:f>'גרפים גמילה מקטטר 2021'!$C$14</c:f>
              <c:strCache>
                <c:ptCount val="1"/>
                <c:pt idx="0">
                  <c:v>ממוצע ימי קטטר לנגמלים מקטטר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'גרפים גמילה מקטטר 2021'!$A$16:$A$18</c:f>
              <c:strCache>
                <c:ptCount val="3"/>
                <c:pt idx="0">
                  <c:v>מונשמים א</c:v>
                </c:pt>
                <c:pt idx="1">
                  <c:v>מונשמים ב</c:v>
                </c:pt>
                <c:pt idx="2">
                  <c:v>מונשמים ג</c:v>
                </c:pt>
              </c:strCache>
            </c:strRef>
          </c:cat>
          <c:val>
            <c:numRef>
              <c:f>'גרפים גמילה מקטטר 2021'!$C$16:$C$18</c:f>
              <c:numCache>
                <c:formatCode>General</c:formatCode>
                <c:ptCount val="3"/>
                <c:pt idx="0">
                  <c:v>18.3</c:v>
                </c:pt>
                <c:pt idx="1">
                  <c:v>28.2</c:v>
                </c:pt>
                <c:pt idx="2">
                  <c:v>56.8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11-4EF1-941D-64AD3A942217}"/>
            </c:ext>
          </c:extLst>
        </c:ser>
        <c:ser>
          <c:idx val="2"/>
          <c:order val="2"/>
          <c:tx>
            <c:strRef>
              <c:f>'גרפים גמילה מקטטר 2021'!$D$14</c:f>
              <c:strCache>
                <c:ptCount val="1"/>
                <c:pt idx="0">
                  <c:v>קטטר מיום קבלתו למחלקה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'גרפים גמילה מקטטר 2021'!$A$16:$A$18</c:f>
              <c:strCache>
                <c:ptCount val="3"/>
                <c:pt idx="0">
                  <c:v>מונשמים א</c:v>
                </c:pt>
                <c:pt idx="1">
                  <c:v>מונשמים ב</c:v>
                </c:pt>
                <c:pt idx="2">
                  <c:v>מונשמים ג</c:v>
                </c:pt>
              </c:strCache>
            </c:strRef>
          </c:cat>
          <c:val>
            <c:numRef>
              <c:f>'גרפים גמילה מקטטר 2021'!$D$16:$D$18</c:f>
              <c:numCache>
                <c:formatCode>General</c:formatCode>
                <c:ptCount val="3"/>
                <c:pt idx="0">
                  <c:v>6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11-4EF1-941D-64AD3A94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515728"/>
        <c:axId val="849515312"/>
      </c:barChart>
      <c:catAx>
        <c:axId val="8495157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49515312"/>
        <c:crosses val="autoZero"/>
        <c:auto val="1"/>
        <c:lblAlgn val="ctr"/>
        <c:lblOffset val="100"/>
        <c:noMultiLvlLbl val="0"/>
      </c:catAx>
      <c:valAx>
        <c:axId val="8495153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84951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גמילה מהקטטר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'2021-2024'!$C$4</c:f>
              <c:strCache>
                <c:ptCount val="1"/>
                <c:pt idx="0">
                  <c:v>מספר חולים שניגמלו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'2021-2024'!$A$5:$B$22</c:f>
              <c:multiLvlStrCache>
                <c:ptCount val="16"/>
                <c:lvl>
                  <c:pt idx="1">
                    <c:v>מונשמים א</c:v>
                  </c:pt>
                  <c:pt idx="2">
                    <c:v>מונשמים ב</c:v>
                  </c:pt>
                  <c:pt idx="3">
                    <c:v>מונשמים ג</c:v>
                  </c:pt>
                  <c:pt idx="5">
                    <c:v>מונשמים א</c:v>
                  </c:pt>
                  <c:pt idx="6">
                    <c:v>מונשמים ב</c:v>
                  </c:pt>
                  <c:pt idx="7">
                    <c:v>מונשמים ג</c:v>
                  </c:pt>
                  <c:pt idx="9">
                    <c:v>מונשמים א</c:v>
                  </c:pt>
                  <c:pt idx="10">
                    <c:v>מונשמים ב</c:v>
                  </c:pt>
                  <c:pt idx="11">
                    <c:v>מונשמים ג</c:v>
                  </c:pt>
                  <c:pt idx="13">
                    <c:v>מונשמים א</c:v>
                  </c:pt>
                  <c:pt idx="14">
                    <c:v>מונשמים ב</c:v>
                  </c:pt>
                  <c:pt idx="15">
                    <c:v>מונשמים ג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'2021-2024'!$C$5:$C$22</c:f>
              <c:numCache>
                <c:formatCode>General</c:formatCode>
                <c:ptCount val="18"/>
                <c:pt idx="1">
                  <c:v>6</c:v>
                </c:pt>
                <c:pt idx="2">
                  <c:v>9</c:v>
                </c:pt>
                <c:pt idx="3">
                  <c:v>5</c:v>
                </c:pt>
                <c:pt idx="5">
                  <c:v>2</c:v>
                </c:pt>
                <c:pt idx="6">
                  <c:v>11</c:v>
                </c:pt>
                <c:pt idx="7">
                  <c:v>5</c:v>
                </c:pt>
                <c:pt idx="9">
                  <c:v>18</c:v>
                </c:pt>
                <c:pt idx="10">
                  <c:v>18</c:v>
                </c:pt>
                <c:pt idx="11">
                  <c:v>4</c:v>
                </c:pt>
                <c:pt idx="13">
                  <c:v>26</c:v>
                </c:pt>
                <c:pt idx="14">
                  <c:v>13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A-4ECF-B964-A985676BC265}"/>
            </c:ext>
          </c:extLst>
        </c:ser>
        <c:ser>
          <c:idx val="1"/>
          <c:order val="1"/>
          <c:tx>
            <c:strRef>
              <c:f>'2021-2024'!$D$4</c:f>
              <c:strCache>
                <c:ptCount val="1"/>
                <c:pt idx="0">
                  <c:v>ס"כ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'2021-2024'!$A$5:$B$22</c:f>
              <c:multiLvlStrCache>
                <c:ptCount val="16"/>
                <c:lvl>
                  <c:pt idx="1">
                    <c:v>מונשמים א</c:v>
                  </c:pt>
                  <c:pt idx="2">
                    <c:v>מונשמים ב</c:v>
                  </c:pt>
                  <c:pt idx="3">
                    <c:v>מונשמים ג</c:v>
                  </c:pt>
                  <c:pt idx="5">
                    <c:v>מונשמים א</c:v>
                  </c:pt>
                  <c:pt idx="6">
                    <c:v>מונשמים ב</c:v>
                  </c:pt>
                  <c:pt idx="7">
                    <c:v>מונשמים ג</c:v>
                  </c:pt>
                  <c:pt idx="9">
                    <c:v>מונשמים א</c:v>
                  </c:pt>
                  <c:pt idx="10">
                    <c:v>מונשמים ב</c:v>
                  </c:pt>
                  <c:pt idx="11">
                    <c:v>מונשמים ג</c:v>
                  </c:pt>
                  <c:pt idx="13">
                    <c:v>מונשמים א</c:v>
                  </c:pt>
                  <c:pt idx="14">
                    <c:v>מונשמים ב</c:v>
                  </c:pt>
                  <c:pt idx="15">
                    <c:v>מונשמים ג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'2021-2024'!$D$5:$D$22</c:f>
              <c:numCache>
                <c:formatCode>General</c:formatCode>
                <c:ptCount val="18"/>
                <c:pt idx="4">
                  <c:v>20</c:v>
                </c:pt>
                <c:pt idx="8">
                  <c:v>18</c:v>
                </c:pt>
                <c:pt idx="12">
                  <c:v>40</c:v>
                </c:pt>
                <c:pt idx="1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A-4ECF-B964-A985676BC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388304"/>
        <c:axId val="441387224"/>
      </c:barChart>
      <c:catAx>
        <c:axId val="44138830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41387224"/>
        <c:crosses val="autoZero"/>
        <c:auto val="1"/>
        <c:lblAlgn val="ctr"/>
        <c:lblOffset val="100"/>
        <c:noMultiLvlLbl val="0"/>
      </c:catAx>
      <c:valAx>
        <c:axId val="441387224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44138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290513</xdr:colOff>
      <xdr:row>13</xdr:row>
      <xdr:rowOff>242887</xdr:rowOff>
    </xdr:from>
    <xdr:to>
      <xdr:col>13</xdr:col>
      <xdr:colOff>233363</xdr:colOff>
      <xdr:row>28</xdr:row>
      <xdr:rowOff>128587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227A7E29-BA1E-47A3-8E15-345C2EB54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223838</xdr:colOff>
      <xdr:row>4</xdr:row>
      <xdr:rowOff>147636</xdr:rowOff>
    </xdr:from>
    <xdr:to>
      <xdr:col>14</xdr:col>
      <xdr:colOff>47625</xdr:colOff>
      <xdr:row>21</xdr:row>
      <xdr:rowOff>95249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17686C3E-F64D-F3C7-7641-A3EE16EB0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9371-BDEC-435D-BF9C-DBB8960E7023}">
  <dimension ref="A1:O32"/>
  <sheetViews>
    <sheetView rightToLeft="1" topLeftCell="A13" workbookViewId="0">
      <selection activeCell="A14" sqref="A14:D31"/>
    </sheetView>
  </sheetViews>
  <sheetFormatPr defaultRowHeight="14.25" x14ac:dyDescent="0.2"/>
  <cols>
    <col min="2" max="2" width="13" customWidth="1"/>
    <col min="3" max="3" width="20.25" customWidth="1"/>
    <col min="4" max="4" width="13.75" customWidth="1"/>
    <col min="8" max="8" width="13.625" customWidth="1"/>
    <col min="10" max="10" width="11.125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1" t="s">
        <v>0</v>
      </c>
      <c r="H1" s="3" t="s">
        <v>21</v>
      </c>
      <c r="I1" s="3" t="s">
        <v>4</v>
      </c>
      <c r="J1" s="3">
        <v>4</v>
      </c>
      <c r="M1" s="1" t="s">
        <v>0</v>
      </c>
      <c r="N1" s="1" t="s">
        <v>1</v>
      </c>
      <c r="O1" s="1" t="s">
        <v>2</v>
      </c>
    </row>
    <row r="2" spans="1:15" x14ac:dyDescent="0.2">
      <c r="A2" s="2" t="s">
        <v>3</v>
      </c>
      <c r="B2" s="3" t="s">
        <v>4</v>
      </c>
      <c r="C2" s="3">
        <v>20</v>
      </c>
      <c r="D2" s="2" t="s">
        <v>13</v>
      </c>
      <c r="H2" s="5" t="s">
        <v>22</v>
      </c>
      <c r="I2" s="5" t="s">
        <v>4</v>
      </c>
      <c r="J2" s="5">
        <v>1</v>
      </c>
      <c r="M2" s="3" t="s">
        <v>32</v>
      </c>
      <c r="N2" s="3" t="s">
        <v>4</v>
      </c>
      <c r="O2" s="3">
        <v>27</v>
      </c>
    </row>
    <row r="3" spans="1:15" ht="15" x14ac:dyDescent="0.2">
      <c r="A3" s="4" t="s">
        <v>5</v>
      </c>
      <c r="B3" s="5" t="s">
        <v>6</v>
      </c>
      <c r="C3" s="5">
        <v>28</v>
      </c>
      <c r="D3" s="4" t="s">
        <v>5</v>
      </c>
      <c r="H3" s="9" t="s">
        <v>23</v>
      </c>
      <c r="I3" s="3" t="s">
        <v>6</v>
      </c>
      <c r="J3" s="3">
        <v>6</v>
      </c>
      <c r="M3" s="5" t="s">
        <v>33</v>
      </c>
      <c r="N3" s="5" t="s">
        <v>6</v>
      </c>
      <c r="O3" s="5">
        <v>27</v>
      </c>
    </row>
    <row r="4" spans="1:15" x14ac:dyDescent="0.2">
      <c r="A4" s="2" t="s">
        <v>7</v>
      </c>
      <c r="B4" s="3" t="s">
        <v>6</v>
      </c>
      <c r="C4" s="3">
        <v>39</v>
      </c>
      <c r="D4" s="2" t="s">
        <v>7</v>
      </c>
      <c r="H4" s="5" t="s">
        <v>24</v>
      </c>
      <c r="I4" s="5" t="s">
        <v>25</v>
      </c>
      <c r="J4" s="5">
        <v>28</v>
      </c>
      <c r="M4" s="3" t="s">
        <v>34</v>
      </c>
      <c r="N4" s="3" t="s">
        <v>6</v>
      </c>
      <c r="O4" s="3">
        <v>43</v>
      </c>
    </row>
    <row r="5" spans="1:15" ht="15" x14ac:dyDescent="0.2">
      <c r="A5" s="4" t="s">
        <v>8</v>
      </c>
      <c r="B5" s="5" t="s">
        <v>9</v>
      </c>
      <c r="C5" s="5">
        <v>13</v>
      </c>
      <c r="D5" s="4" t="s">
        <v>8</v>
      </c>
      <c r="H5" s="3" t="s">
        <v>26</v>
      </c>
      <c r="I5" s="3" t="s">
        <v>27</v>
      </c>
      <c r="J5" s="3">
        <v>50</v>
      </c>
      <c r="M5" s="5" t="s">
        <v>35</v>
      </c>
      <c r="N5" s="5" t="s">
        <v>27</v>
      </c>
      <c r="O5" s="5">
        <v>7</v>
      </c>
    </row>
    <row r="6" spans="1:15" ht="15" x14ac:dyDescent="0.2">
      <c r="A6" s="6" t="s">
        <v>10</v>
      </c>
      <c r="B6" s="3" t="s">
        <v>11</v>
      </c>
      <c r="C6" s="3">
        <v>6</v>
      </c>
      <c r="D6" s="6" t="s">
        <v>10</v>
      </c>
      <c r="H6" s="5" t="s">
        <v>28</v>
      </c>
      <c r="I6" s="5" t="s">
        <v>6</v>
      </c>
      <c r="J6" s="5">
        <v>2</v>
      </c>
      <c r="M6" s="3" t="s">
        <v>36</v>
      </c>
      <c r="N6" s="3" t="s">
        <v>6</v>
      </c>
      <c r="O6" s="3">
        <v>180</v>
      </c>
    </row>
    <row r="7" spans="1:15" x14ac:dyDescent="0.2">
      <c r="A7" s="5" t="s">
        <v>12</v>
      </c>
      <c r="B7" s="5" t="s">
        <v>11</v>
      </c>
      <c r="C7" s="5">
        <v>4</v>
      </c>
      <c r="D7" s="5" t="s">
        <v>12</v>
      </c>
      <c r="H7" s="9" t="s">
        <v>29</v>
      </c>
      <c r="I7" s="3" t="s">
        <v>6</v>
      </c>
      <c r="J7" s="3">
        <v>35</v>
      </c>
      <c r="O7">
        <f>AVERAGE(O2:O6)</f>
        <v>56.8</v>
      </c>
    </row>
    <row r="8" spans="1:15" x14ac:dyDescent="0.2">
      <c r="C8">
        <f>AVERAGE(C2:C7)</f>
        <v>18.333333333333332</v>
      </c>
      <c r="H8" s="5" t="s">
        <v>30</v>
      </c>
      <c r="I8" s="5" t="s">
        <v>6</v>
      </c>
      <c r="J8" s="5">
        <v>3</v>
      </c>
    </row>
    <row r="9" spans="1:15" x14ac:dyDescent="0.2">
      <c r="H9" s="3" t="s">
        <v>31</v>
      </c>
      <c r="I9" s="3" t="s">
        <v>6</v>
      </c>
      <c r="J9" s="3">
        <v>12</v>
      </c>
    </row>
    <row r="10" spans="1:15" x14ac:dyDescent="0.2">
      <c r="J10">
        <f>SUM(J1:J9)</f>
        <v>141</v>
      </c>
    </row>
    <row r="11" spans="1:15" x14ac:dyDescent="0.2">
      <c r="J11">
        <f>AVERAGE(J1:J10)</f>
        <v>28.2</v>
      </c>
    </row>
    <row r="14" spans="1:15" ht="39.75" customHeight="1" x14ac:dyDescent="0.25">
      <c r="A14" s="7" t="s">
        <v>14</v>
      </c>
      <c r="B14" s="8" t="s">
        <v>18</v>
      </c>
      <c r="C14" s="8" t="s">
        <v>19</v>
      </c>
      <c r="D14" s="8" t="s">
        <v>20</v>
      </c>
    </row>
    <row r="15" spans="1:15" ht="39.75" customHeight="1" x14ac:dyDescent="0.25">
      <c r="A15" s="7">
        <v>2021</v>
      </c>
      <c r="B15" s="8"/>
      <c r="C15" s="8"/>
      <c r="D15" s="8"/>
    </row>
    <row r="16" spans="1:15" x14ac:dyDescent="0.2">
      <c r="A16" t="s">
        <v>15</v>
      </c>
      <c r="B16">
        <v>6</v>
      </c>
      <c r="C16">
        <v>18.3</v>
      </c>
      <c r="D16">
        <v>6</v>
      </c>
    </row>
    <row r="17" spans="1:8" x14ac:dyDescent="0.2">
      <c r="A17" t="s">
        <v>16</v>
      </c>
      <c r="B17">
        <v>9</v>
      </c>
      <c r="C17">
        <v>28.2</v>
      </c>
      <c r="D17">
        <v>8</v>
      </c>
    </row>
    <row r="18" spans="1:8" x14ac:dyDescent="0.2">
      <c r="A18" t="s">
        <v>17</v>
      </c>
      <c r="B18">
        <v>5</v>
      </c>
      <c r="C18">
        <v>56.8</v>
      </c>
      <c r="D18">
        <v>4</v>
      </c>
    </row>
    <row r="19" spans="1:8" x14ac:dyDescent="0.2">
      <c r="A19">
        <v>2022</v>
      </c>
    </row>
    <row r="20" spans="1:8" x14ac:dyDescent="0.2">
      <c r="A20" t="s">
        <v>15</v>
      </c>
      <c r="B20">
        <v>2</v>
      </c>
    </row>
    <row r="21" spans="1:8" x14ac:dyDescent="0.2">
      <c r="A21" t="s">
        <v>16</v>
      </c>
      <c r="B21">
        <v>11</v>
      </c>
    </row>
    <row r="22" spans="1:8" x14ac:dyDescent="0.2">
      <c r="A22" t="s">
        <v>17</v>
      </c>
      <c r="B22">
        <v>5</v>
      </c>
    </row>
    <row r="23" spans="1:8" x14ac:dyDescent="0.2">
      <c r="A23">
        <v>2023</v>
      </c>
    </row>
    <row r="24" spans="1:8" x14ac:dyDescent="0.2">
      <c r="A24" t="s">
        <v>15</v>
      </c>
      <c r="B24">
        <v>18</v>
      </c>
    </row>
    <row r="25" spans="1:8" x14ac:dyDescent="0.2">
      <c r="A25" t="s">
        <v>16</v>
      </c>
      <c r="B25">
        <v>18</v>
      </c>
    </row>
    <row r="26" spans="1:8" x14ac:dyDescent="0.2">
      <c r="A26" t="s">
        <v>17</v>
      </c>
      <c r="B26">
        <v>4</v>
      </c>
    </row>
    <row r="27" spans="1:8" x14ac:dyDescent="0.2">
      <c r="A27">
        <v>2024</v>
      </c>
    </row>
    <row r="28" spans="1:8" x14ac:dyDescent="0.2">
      <c r="A28" t="s">
        <v>15</v>
      </c>
      <c r="B28">
        <v>26</v>
      </c>
    </row>
    <row r="29" spans="1:8" x14ac:dyDescent="0.2">
      <c r="A29" t="s">
        <v>16</v>
      </c>
      <c r="B29">
        <v>13</v>
      </c>
    </row>
    <row r="30" spans="1:8" x14ac:dyDescent="0.2">
      <c r="A30" t="s">
        <v>17</v>
      </c>
      <c r="B30">
        <v>2</v>
      </c>
    </row>
    <row r="32" spans="1:8" x14ac:dyDescent="0.2">
      <c r="H32" t="s">
        <v>37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F1F9-7F98-4B95-8715-7B04F4D14CAF}">
  <dimension ref="A4:E21"/>
  <sheetViews>
    <sheetView rightToLeft="1" tabSelected="1" workbookViewId="0">
      <selection activeCell="J3" sqref="J3"/>
    </sheetView>
  </sheetViews>
  <sheetFormatPr defaultRowHeight="14.25" x14ac:dyDescent="0.2"/>
  <sheetData>
    <row r="4" spans="1:5" ht="45" x14ac:dyDescent="0.25">
      <c r="A4" t="s">
        <v>38</v>
      </c>
      <c r="B4" s="7" t="s">
        <v>14</v>
      </c>
      <c r="C4" s="8" t="s">
        <v>18</v>
      </c>
      <c r="D4" s="8" t="s">
        <v>39</v>
      </c>
    </row>
    <row r="5" spans="1:5" ht="15" x14ac:dyDescent="0.25">
      <c r="A5" s="7">
        <v>2021</v>
      </c>
      <c r="C5" s="8"/>
      <c r="D5" s="8"/>
      <c r="E5" s="8"/>
    </row>
    <row r="6" spans="1:5" x14ac:dyDescent="0.2">
      <c r="B6" t="s">
        <v>15</v>
      </c>
      <c r="C6">
        <v>6</v>
      </c>
    </row>
    <row r="7" spans="1:5" x14ac:dyDescent="0.2">
      <c r="B7" t="s">
        <v>16</v>
      </c>
      <c r="C7">
        <v>9</v>
      </c>
    </row>
    <row r="8" spans="1:5" x14ac:dyDescent="0.2">
      <c r="B8" t="s">
        <v>17</v>
      </c>
      <c r="C8">
        <v>5</v>
      </c>
    </row>
    <row r="9" spans="1:5" x14ac:dyDescent="0.2">
      <c r="A9">
        <v>2022</v>
      </c>
      <c r="D9">
        <v>20</v>
      </c>
      <c r="E9" t="s">
        <v>40</v>
      </c>
    </row>
    <row r="10" spans="1:5" x14ac:dyDescent="0.2">
      <c r="B10" t="s">
        <v>15</v>
      </c>
      <c r="C10">
        <v>2</v>
      </c>
    </row>
    <row r="11" spans="1:5" x14ac:dyDescent="0.2">
      <c r="B11" t="s">
        <v>16</v>
      </c>
      <c r="C11">
        <v>11</v>
      </c>
    </row>
    <row r="12" spans="1:5" x14ac:dyDescent="0.2">
      <c r="B12" t="s">
        <v>17</v>
      </c>
      <c r="C12">
        <v>5</v>
      </c>
    </row>
    <row r="13" spans="1:5" x14ac:dyDescent="0.2">
      <c r="A13">
        <v>2023</v>
      </c>
      <c r="D13">
        <v>18</v>
      </c>
      <c r="E13" t="s">
        <v>40</v>
      </c>
    </row>
    <row r="14" spans="1:5" x14ac:dyDescent="0.2">
      <c r="B14" t="s">
        <v>15</v>
      </c>
      <c r="C14">
        <v>18</v>
      </c>
    </row>
    <row r="15" spans="1:5" x14ac:dyDescent="0.2">
      <c r="B15" t="s">
        <v>16</v>
      </c>
      <c r="C15">
        <v>18</v>
      </c>
    </row>
    <row r="16" spans="1:5" x14ac:dyDescent="0.2">
      <c r="B16" t="s">
        <v>17</v>
      </c>
      <c r="C16">
        <v>4</v>
      </c>
    </row>
    <row r="17" spans="1:5" x14ac:dyDescent="0.2">
      <c r="A17">
        <v>2024</v>
      </c>
      <c r="D17">
        <v>40</v>
      </c>
    </row>
    <row r="18" spans="1:5" x14ac:dyDescent="0.2">
      <c r="B18" t="s">
        <v>15</v>
      </c>
      <c r="C18">
        <v>26</v>
      </c>
    </row>
    <row r="19" spans="1:5" x14ac:dyDescent="0.2">
      <c r="B19" t="s">
        <v>16</v>
      </c>
      <c r="C19">
        <v>13</v>
      </c>
    </row>
    <row r="20" spans="1:5" x14ac:dyDescent="0.2">
      <c r="B20" t="s">
        <v>17</v>
      </c>
      <c r="C20">
        <v>2</v>
      </c>
    </row>
    <row r="21" spans="1:5" x14ac:dyDescent="0.2">
      <c r="D21">
        <v>41</v>
      </c>
      <c r="E21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גרפים גמילה מקטטר 2021</vt:lpstr>
      <vt:lpstr>2021-2024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Shkolnic</dc:creator>
  <cp:lastModifiedBy>Yana Vishnevski</cp:lastModifiedBy>
  <dcterms:created xsi:type="dcterms:W3CDTF">2021-12-23T14:35:11Z</dcterms:created>
  <dcterms:modified xsi:type="dcterms:W3CDTF">2025-05-15T05:54:22Z</dcterms:modified>
</cp:coreProperties>
</file>